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A_Learning\大三上\校园网建设与管理\Week3\工作区\output\任务2\"/>
    </mc:Choice>
  </mc:AlternateContent>
  <xr:revisionPtr revIDLastSave="0" documentId="13_ncr:1_{27057356-001B-400C-9AE5-53711D88EEFE}" xr6:coauthVersionLast="47" xr6:coauthVersionMax="47" xr10:uidLastSave="{00000000-0000-0000-0000-000000000000}"/>
  <bookViews>
    <workbookView xWindow="-98" yWindow="-98" windowWidth="21795" windowHeight="13695" activeTab="2" xr2:uid="{00000000-000D-0000-FFFF-FFFF00000000}"/>
  </bookViews>
  <sheets>
    <sheet name="整理后台账" sheetId="1" r:id="rId1"/>
    <sheet name="异常处理清单" sheetId="2" r:id="rId2"/>
    <sheet name="地点统计" sheetId="3" r:id="rId3"/>
    <sheet name="状态统计" sheetId="4" r:id="rId4"/>
  </sheets>
  <definedNames>
    <definedName name="_xlnm.Print_Area" localSheetId="2">地点统计!$A$1:$M$25</definedName>
    <definedName name="_xlnm.Print_Area" localSheetId="1">异常处理清单!$A$1:$G$26</definedName>
    <definedName name="_xlnm.Print_Area" localSheetId="0">整理后台账!$A$1:$I$24</definedName>
    <definedName name="_xlnm.Print_Area" localSheetId="3">状态统计!$A$1:$F$19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4" l="1"/>
  <c r="B9" i="4"/>
  <c r="B8" i="4"/>
  <c r="B7" i="4"/>
  <c r="B6" i="4"/>
  <c r="B11" i="4" s="1"/>
  <c r="B14" i="4" s="1"/>
  <c r="B15" i="3"/>
  <c r="B16" i="3" s="1"/>
  <c r="B10" i="3"/>
  <c r="B9" i="3"/>
  <c r="B8" i="3"/>
  <c r="B7" i="3"/>
  <c r="B6" i="3"/>
  <c r="B12" i="3" l="1"/>
  <c r="B18" i="3" s="1"/>
</calcChain>
</file>

<file path=xl/sharedStrings.xml><?xml version="1.0" encoding="utf-8"?>
<sst xmlns="http://schemas.openxmlformats.org/spreadsheetml/2006/main" count="225" uniqueCount="102">
  <si>
    <t>整理后台账</t>
  </si>
  <si>
    <t>来源：05_校园设备台账.xlsx，“资产原始记录”第6—25行；标准状态见原表第3行。</t>
  </si>
  <si>
    <t>保留全部原始记录号和行号。合并判断使用整理前原值；本次原始20条，整理后19条。</t>
  </si>
  <si>
    <t>原始记录号</t>
  </si>
  <si>
    <t>原工作表行号</t>
  </si>
  <si>
    <t>资产编号</t>
  </si>
  <si>
    <t>设备类型</t>
  </si>
  <si>
    <t>地点</t>
  </si>
  <si>
    <t>状态</t>
  </si>
  <si>
    <t>原始状态</t>
  </si>
  <si>
    <t>是否经过合并</t>
  </si>
  <si>
    <t>备注</t>
  </si>
  <si>
    <t>A001</t>
  </si>
  <si>
    <t>无线接入点</t>
  </si>
  <si>
    <t>教学楼A</t>
  </si>
  <si>
    <t>在用</t>
  </si>
  <si>
    <t>否</t>
  </si>
  <si>
    <t>—</t>
  </si>
  <si>
    <t>A002</t>
  </si>
  <si>
    <t>A003</t>
  </si>
  <si>
    <t>交换机</t>
  </si>
  <si>
    <t>A004</t>
  </si>
  <si>
    <t>教学楼B</t>
  </si>
  <si>
    <t>维修</t>
  </si>
  <si>
    <t>A005</t>
  </si>
  <si>
    <t>A006</t>
  </si>
  <si>
    <t>图书馆D</t>
  </si>
  <si>
    <t>A007</t>
  </si>
  <si>
    <t>备用</t>
  </si>
  <si>
    <t>8、9</t>
  </si>
  <si>
    <t>13、14</t>
  </si>
  <si>
    <t>A008</t>
  </si>
  <si>
    <t>是</t>
  </si>
  <si>
    <t>原始资产字段完全相同，合并并保留全部来源</t>
  </si>
  <si>
    <t>A010</t>
  </si>
  <si>
    <t>学生宿舍C</t>
  </si>
  <si>
    <t>A011</t>
  </si>
  <si>
    <t>未登记</t>
  </si>
  <si>
    <t>原地点为空，按规则填未登记</t>
  </si>
  <si>
    <t>A012</t>
  </si>
  <si>
    <t>A013</t>
  </si>
  <si>
    <t>A014</t>
  </si>
  <si>
    <t>A015</t>
  </si>
  <si>
    <t>待核验</t>
  </si>
  <si>
    <t>正常</t>
  </si>
  <si>
    <t>原状态“正常”非标准，待核验</t>
  </si>
  <si>
    <t>A016</t>
  </si>
  <si>
    <t>A017</t>
  </si>
  <si>
    <t>A018</t>
  </si>
  <si>
    <t>A019</t>
  </si>
  <si>
    <t>A020</t>
  </si>
  <si>
    <t>异常处理清单</t>
  </si>
  <si>
    <t>异常逐条对应原始记录与Excel行号。原值保留，缺失和非标准状态均不推断。</t>
  </si>
  <si>
    <t>问题类型</t>
  </si>
  <si>
    <t>原始内容</t>
  </si>
  <si>
    <t>采取的处理</t>
  </si>
  <si>
    <t>处理理由</t>
  </si>
  <si>
    <t>完全相同重复资产</t>
  </si>
  <si>
    <t>设备类型=交换机；地点=图书馆D；状态=在用</t>
  </si>
  <si>
    <t>与记录9合并；保留记录号8、9和原行13、14</t>
  </si>
  <si>
    <t>同一资产编号，其余三个资产字段原值完全一致</t>
  </si>
  <si>
    <t>与记录8合并；保留记录号8、9和原行13、14</t>
  </si>
  <si>
    <t>地点缺失</t>
  </si>
  <si>
    <t>地点=（Excel空单元格）</t>
  </si>
  <si>
    <t>地点填“未登记”；保留原空值说明</t>
  </si>
  <si>
    <t>按规则3处理，不猜测缺失地点</t>
  </si>
  <si>
    <t>非标准状态</t>
  </si>
  <si>
    <t>状态=正常</t>
  </si>
  <si>
    <t>状态填“待核验”；原始状态保留“正常”</t>
  </si>
  <si>
    <t>原表第3行标准状态为在用、维修、备用；不能把“正常”推断为“在用”</t>
  </si>
  <si>
    <t>检查结果</t>
  </si>
  <si>
    <t>受影响原始记录数</t>
  </si>
  <si>
    <t>说明</t>
  </si>
  <si>
    <t>完全相同重复</t>
  </si>
  <si>
    <t>1组，2条合并为1条，减少1条</t>
  </si>
  <si>
    <t>字段冲突</t>
  </si>
  <si>
    <t>未发现；无冲突记录被合并</t>
  </si>
  <si>
    <t>记录11，原表第16行</t>
  </si>
  <si>
    <t>记录15，原表第20行，原值“正常”</t>
  </si>
  <si>
    <t>其他明显问题</t>
  </si>
  <si>
    <t>未发现编号/类型/状态缺失、记录号重复或首尾空白</t>
  </si>
  <si>
    <t>处理规则</t>
  </si>
  <si>
    <t>1. 同一资产编号且类型、地点、状态原值全部完全相同才合并，保留全部记录号与原行号。</t>
  </si>
  <si>
    <t>2. 同一资产编号存在任一字段冲突，整组暂不合并，逐条保留并登记异常，不判断哪条真实。</t>
  </si>
  <si>
    <t>3. 地点缺失填“未登记”；原始空单元格情况保留在异常清单。</t>
  </si>
  <si>
    <t>4. 状态仅“在用、维修、备用”为标准；其他值填“待核验”，保留原始状态。</t>
  </si>
  <si>
    <t>5. 地点、状态统计均按合并重复后的整理记录统计，每条整理记录计1台。</t>
  </si>
  <si>
    <t>原始记录号为数字1—20，未改造为R编号。资料为教学模拟资产，不代表真实学校。</t>
  </si>
  <si>
    <t>地点设备数量统计</t>
  </si>
  <si>
    <t>按合并重复后的整理记录统计。单位：台，每条整理记录计1台。</t>
  </si>
  <si>
    <t>设备数量（台）</t>
  </si>
  <si>
    <t>合计</t>
  </si>
  <si>
    <t>原始记录数</t>
  </si>
  <si>
    <t>整理记录数</t>
  </si>
  <si>
    <t>合并后减少</t>
  </si>
  <si>
    <t>合计与台账差值</t>
  </si>
  <si>
    <t>本次地点分布：教学楼A与图书馆D各5台，并列最多；教学楼B与学生宿舍C各4台；另1台未登记地点。</t>
  </si>
  <si>
    <t>20条原始记录中仅A008重复1次，因此合并后为19条。不存在冲突资产。</t>
  </si>
  <si>
    <t>状态设备数量统计</t>
  </si>
  <si>
    <t>按合并重复后的整理记录统计。标准状态：在用、维修、备用；非标准状态归入待核验。</t>
  </si>
  <si>
    <t>整理后状态</t>
  </si>
  <si>
    <t>待核验1台：A015，原记录15、原表第20行，原始状态“正常”保留在台账中。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</si>
</sst>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color rgb="FF20344C"/>
      <name val="Microsoft YaHei"/>
      <family val="2"/>
      <charset val="134"/>
    </font>
    <font>
      <b/>
      <sz val="14"/>
      <color rgb="FF20344C"/>
      <name val="Microsoft YaHei"/>
      <family val="2"/>
      <charset val="134"/>
    </font>
    <font>
      <i/>
      <sz val="10"/>
      <color rgb="FF63758A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b/>
      <sz val="12"/>
      <color rgb="FF20344C"/>
      <name val="Microsoft YaHei"/>
      <family val="2"/>
      <charset val="134"/>
    </font>
    <font>
      <b/>
      <sz val="10"/>
      <color rgb="FF20344C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2E4C6D"/>
      </patternFill>
    </fill>
  </fills>
  <borders count="5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B6C5D5"/>
      </top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1" fontId="1" fillId="0" borderId="0" xfId="1" applyNumberFormat="1" applyFont="1" applyAlignment="1">
      <alignment horizontal="righ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right" vertical="center" wrapText="1"/>
    </xf>
    <xf numFmtId="0" fontId="5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0" fontId="6" fillId="0" borderId="4" xfId="1" applyFont="1" applyBorder="1" applyAlignment="1">
      <alignment vertical="center"/>
    </xf>
    <xf numFmtId="1" fontId="6" fillId="0" borderId="4" xfId="1" applyNumberFormat="1" applyFont="1" applyBorder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865F13"/>
      </font>
      <fill>
        <patternFill patternType="solid">
          <bgColor rgb="FFFFF1CF"/>
        </patternFill>
      </fill>
    </dxf>
    <dxf>
      <font>
        <b/>
        <color rgb="FF865F13"/>
      </font>
      <fill>
        <patternFill patternType="solid">
          <bgColor rgb="FFFFF1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1200">
                <a:latin typeface="Microsoft YaHei"/>
                <a:ea typeface="Microsoft YaHei"/>
                <a:cs typeface="Microsoft YaHei"/>
              </a:rPr>
              <a:t>合并重复资产后的设备数量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A6"/>
            </a:solidFill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地点统计!$A$6:$A$10</c:f>
              <c:strCache>
                <c:ptCount val="5"/>
                <c:pt idx="0">
                  <c:v>教学楼A</c:v>
                </c:pt>
                <c:pt idx="1">
                  <c:v>图书馆D</c:v>
                </c:pt>
                <c:pt idx="2">
                  <c:v>教学楼B</c:v>
                </c:pt>
                <c:pt idx="3">
                  <c:v>学生宿舍C</c:v>
                </c:pt>
                <c:pt idx="4">
                  <c:v>未登记</c:v>
                </c:pt>
              </c:strCache>
            </c:strRef>
          </c:cat>
          <c:val>
            <c:numRef>
              <c:f>地点统计!$B$6:$B$10</c:f>
              <c:numCache>
                <c:formatCode>0</c:formatCode>
                <c:ptCount val="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C690-4F5A-80B7-2B5DB4AF8E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地点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zh-CN" altLang="en-US"/>
                  <a:t>设备数量（台）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Microsoft YaHei"/>
                <a:ea typeface="Microsoft YaHei"/>
                <a:cs typeface="Microsoft YaHei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Assets" displayName="CleanedAssets" ref="A5:I24" totalsRowShown="0">
  <tableColumns count="9">
    <tableColumn id="1" xr3:uid="{00000000-0010-0000-0000-000001000000}" name="原始记录号"/>
    <tableColumn id="2" xr3:uid="{00000000-0010-0000-0000-000002000000}" name="原工作表行号"/>
    <tableColumn id="3" xr3:uid="{00000000-0010-0000-0000-000003000000}" name="资产编号"/>
    <tableColumn id="4" xr3:uid="{00000000-0010-0000-0000-000004000000}" name="设备类型"/>
    <tableColumn id="5" xr3:uid="{00000000-0010-0000-0000-000005000000}" name="地点"/>
    <tableColumn id="6" xr3:uid="{00000000-0010-0000-0000-000006000000}" name="状态"/>
    <tableColumn id="7" xr3:uid="{00000000-0010-0000-0000-000007000000}" name="原始状态"/>
    <tableColumn id="8" xr3:uid="{00000000-0010-0000-0000-000008000000}" name="是否经过合并"/>
    <tableColumn id="9" xr3:uid="{00000000-0010-0000-0000-000009000000}" name="备注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etExceptions" displayName="AssetExceptions" ref="A5:G9" totalsRowShown="0">
  <tableColumns count="7">
    <tableColumn id="1" xr3:uid="{00000000-0010-0000-0100-000001000000}" name="原工作表行号"/>
    <tableColumn id="2" xr3:uid="{00000000-0010-0000-0100-000002000000}" name="原始记录号"/>
    <tableColumn id="3" xr3:uid="{00000000-0010-0000-0100-000003000000}" name="资产编号"/>
    <tableColumn id="4" xr3:uid="{00000000-0010-0000-0100-000004000000}" name="问题类型"/>
    <tableColumn id="5" xr3:uid="{00000000-0010-0000-0100-000005000000}" name="原始内容"/>
    <tableColumn id="6" xr3:uid="{00000000-0010-0000-0100-000006000000}" name="采取的处理"/>
    <tableColumn id="7" xr3:uid="{00000000-0010-0000-0100-000007000000}" name="处理理由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cationCounts" displayName="LocationCounts" ref="A5:B10" totalsRowShown="0">
  <tableColumns count="2">
    <tableColumn id="1" xr3:uid="{00000000-0010-0000-0200-000001000000}" name="地点"/>
    <tableColumn id="2" xr3:uid="{00000000-0010-0000-0200-000002000000}" name="设备数量（台）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usCounts" displayName="StatusCounts" ref="A5:B9" totalsRowShown="0">
  <tableColumns count="2">
    <tableColumn id="1" xr3:uid="{00000000-0010-0000-0300-000001000000}" name="整理后状态"/>
    <tableColumn id="2" xr3:uid="{00000000-0010-0000-0300-000002000000}" name="设备数量（台）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D6" sqref="D6"/>
    </sheetView>
  </sheetViews>
  <sheetFormatPr defaultRowHeight="13.5"/>
  <cols>
    <col min="1" max="1" width="19" customWidth="1"/>
    <col min="2" max="2" width="18" customWidth="1"/>
    <col min="3" max="3" width="14" customWidth="1"/>
    <col min="4" max="5" width="18" customWidth="1"/>
    <col min="6" max="7" width="14" customWidth="1"/>
    <col min="8" max="8" width="18" customWidth="1"/>
    <col min="9" max="9" width="49" customWidth="1"/>
  </cols>
  <sheetData>
    <row r="1" spans="1:9" ht="27" customHeight="1">
      <c r="A1" s="1"/>
      <c r="B1" s="1"/>
      <c r="C1" s="1"/>
      <c r="D1" s="1"/>
      <c r="E1" s="1"/>
      <c r="F1" s="1"/>
      <c r="G1" s="1"/>
      <c r="H1" s="1"/>
      <c r="I1" s="1"/>
    </row>
    <row r="2" spans="1:9" ht="32" customHeight="1">
      <c r="A2" s="2" t="s">
        <v>0</v>
      </c>
      <c r="B2" s="1"/>
      <c r="C2" s="1"/>
      <c r="D2" s="1"/>
      <c r="E2" s="1"/>
      <c r="F2" s="1"/>
      <c r="G2" s="1"/>
      <c r="H2" s="1"/>
      <c r="I2" s="1"/>
    </row>
    <row r="3" spans="1:9" ht="27" customHeight="1">
      <c r="A3" s="3" t="s">
        <v>1</v>
      </c>
      <c r="B3" s="1"/>
      <c r="C3" s="1"/>
      <c r="D3" s="1"/>
      <c r="E3" s="1"/>
      <c r="F3" s="1"/>
      <c r="G3" s="1"/>
      <c r="H3" s="1"/>
      <c r="I3" s="1"/>
    </row>
    <row r="4" spans="1:9" ht="27" customHeight="1">
      <c r="A4" s="3" t="s">
        <v>2</v>
      </c>
      <c r="B4" s="1"/>
      <c r="C4" s="1"/>
      <c r="D4" s="1"/>
      <c r="E4" s="1"/>
      <c r="F4" s="1"/>
      <c r="G4" s="1"/>
      <c r="H4" s="1"/>
      <c r="I4" s="1"/>
    </row>
    <row r="5" spans="1:9" ht="30" customHeight="1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8" t="s">
        <v>11</v>
      </c>
    </row>
    <row r="6" spans="1:9" ht="27" customHeight="1">
      <c r="A6" s="5">
        <v>1</v>
      </c>
      <c r="B6" s="5">
        <v>6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15</v>
      </c>
      <c r="H6" s="1" t="s">
        <v>16</v>
      </c>
      <c r="I6" s="4" t="s">
        <v>17</v>
      </c>
    </row>
    <row r="7" spans="1:9" ht="27" customHeight="1">
      <c r="A7" s="5">
        <v>2</v>
      </c>
      <c r="B7" s="5">
        <v>7</v>
      </c>
      <c r="C7" s="1" t="s">
        <v>18</v>
      </c>
      <c r="D7" s="1" t="s">
        <v>13</v>
      </c>
      <c r="E7" s="1" t="s">
        <v>14</v>
      </c>
      <c r="F7" s="1" t="s">
        <v>15</v>
      </c>
      <c r="G7" s="1" t="s">
        <v>15</v>
      </c>
      <c r="H7" s="1" t="s">
        <v>16</v>
      </c>
      <c r="I7" s="4" t="s">
        <v>17</v>
      </c>
    </row>
    <row r="8" spans="1:9" ht="27" customHeight="1">
      <c r="A8" s="5">
        <v>3</v>
      </c>
      <c r="B8" s="5">
        <v>8</v>
      </c>
      <c r="C8" s="1" t="s">
        <v>19</v>
      </c>
      <c r="D8" s="1" t="s">
        <v>20</v>
      </c>
      <c r="E8" s="1" t="s">
        <v>14</v>
      </c>
      <c r="F8" s="1" t="s">
        <v>15</v>
      </c>
      <c r="G8" s="1" t="s">
        <v>15</v>
      </c>
      <c r="H8" s="1" t="s">
        <v>16</v>
      </c>
      <c r="I8" s="4" t="s">
        <v>17</v>
      </c>
    </row>
    <row r="9" spans="1:9" ht="27" customHeight="1">
      <c r="A9" s="5">
        <v>4</v>
      </c>
      <c r="B9" s="5">
        <v>9</v>
      </c>
      <c r="C9" s="1" t="s">
        <v>21</v>
      </c>
      <c r="D9" s="1" t="s">
        <v>13</v>
      </c>
      <c r="E9" s="1" t="s">
        <v>22</v>
      </c>
      <c r="F9" s="1" t="s">
        <v>23</v>
      </c>
      <c r="G9" s="1" t="s">
        <v>23</v>
      </c>
      <c r="H9" s="1" t="s">
        <v>16</v>
      </c>
      <c r="I9" s="4" t="s">
        <v>17</v>
      </c>
    </row>
    <row r="10" spans="1:9" ht="27" customHeight="1">
      <c r="A10" s="5">
        <v>5</v>
      </c>
      <c r="B10" s="5">
        <v>10</v>
      </c>
      <c r="C10" s="1" t="s">
        <v>24</v>
      </c>
      <c r="D10" s="1" t="s">
        <v>20</v>
      </c>
      <c r="E10" s="1" t="s">
        <v>22</v>
      </c>
      <c r="F10" s="1" t="s">
        <v>15</v>
      </c>
      <c r="G10" s="1" t="s">
        <v>15</v>
      </c>
      <c r="H10" s="1" t="s">
        <v>16</v>
      </c>
      <c r="I10" s="4" t="s">
        <v>17</v>
      </c>
    </row>
    <row r="11" spans="1:9" ht="27" customHeight="1">
      <c r="A11" s="5">
        <v>6</v>
      </c>
      <c r="B11" s="5">
        <v>11</v>
      </c>
      <c r="C11" s="1" t="s">
        <v>25</v>
      </c>
      <c r="D11" s="1" t="s">
        <v>13</v>
      </c>
      <c r="E11" s="1" t="s">
        <v>26</v>
      </c>
      <c r="F11" s="1" t="s">
        <v>15</v>
      </c>
      <c r="G11" s="1" t="s">
        <v>15</v>
      </c>
      <c r="H11" s="1" t="s">
        <v>16</v>
      </c>
      <c r="I11" s="4" t="s">
        <v>17</v>
      </c>
    </row>
    <row r="12" spans="1:9" ht="27" customHeight="1">
      <c r="A12" s="5">
        <v>7</v>
      </c>
      <c r="B12" s="5">
        <v>12</v>
      </c>
      <c r="C12" s="1" t="s">
        <v>27</v>
      </c>
      <c r="D12" s="1" t="s">
        <v>13</v>
      </c>
      <c r="E12" s="1" t="s">
        <v>26</v>
      </c>
      <c r="F12" s="1" t="s">
        <v>28</v>
      </c>
      <c r="G12" s="1" t="s">
        <v>28</v>
      </c>
      <c r="H12" s="1" t="s">
        <v>16</v>
      </c>
      <c r="I12" s="4" t="s">
        <v>17</v>
      </c>
    </row>
    <row r="13" spans="1:9" ht="44" customHeight="1">
      <c r="A13" s="5" t="s">
        <v>29</v>
      </c>
      <c r="B13" s="5" t="s">
        <v>30</v>
      </c>
      <c r="C13" s="1" t="s">
        <v>31</v>
      </c>
      <c r="D13" s="1" t="s">
        <v>20</v>
      </c>
      <c r="E13" s="1" t="s">
        <v>26</v>
      </c>
      <c r="F13" s="1" t="s">
        <v>15</v>
      </c>
      <c r="G13" s="1" t="s">
        <v>15</v>
      </c>
      <c r="H13" s="1" t="s">
        <v>32</v>
      </c>
      <c r="I13" s="4" t="s">
        <v>33</v>
      </c>
    </row>
    <row r="14" spans="1:9" ht="27" customHeight="1">
      <c r="A14" s="5">
        <v>10</v>
      </c>
      <c r="B14" s="5">
        <v>15</v>
      </c>
      <c r="C14" s="1" t="s">
        <v>34</v>
      </c>
      <c r="D14" s="1" t="s">
        <v>13</v>
      </c>
      <c r="E14" s="1" t="s">
        <v>35</v>
      </c>
      <c r="F14" s="1" t="s">
        <v>15</v>
      </c>
      <c r="G14" s="1" t="s">
        <v>15</v>
      </c>
      <c r="H14" s="1" t="s">
        <v>16</v>
      </c>
      <c r="I14" s="4" t="s">
        <v>17</v>
      </c>
    </row>
    <row r="15" spans="1:9" ht="44" customHeight="1">
      <c r="A15" s="5">
        <v>11</v>
      </c>
      <c r="B15" s="5">
        <v>16</v>
      </c>
      <c r="C15" s="1" t="s">
        <v>36</v>
      </c>
      <c r="D15" s="1" t="s">
        <v>13</v>
      </c>
      <c r="E15" s="1" t="s">
        <v>37</v>
      </c>
      <c r="F15" s="1" t="s">
        <v>15</v>
      </c>
      <c r="G15" s="1" t="s">
        <v>15</v>
      </c>
      <c r="H15" s="1" t="s">
        <v>16</v>
      </c>
      <c r="I15" s="4" t="s">
        <v>38</v>
      </c>
    </row>
    <row r="16" spans="1:9" ht="27" customHeight="1">
      <c r="A16" s="5">
        <v>12</v>
      </c>
      <c r="B16" s="5">
        <v>17</v>
      </c>
      <c r="C16" s="1" t="s">
        <v>39</v>
      </c>
      <c r="D16" s="1" t="s">
        <v>20</v>
      </c>
      <c r="E16" s="1" t="s">
        <v>35</v>
      </c>
      <c r="F16" s="1" t="s">
        <v>23</v>
      </c>
      <c r="G16" s="1" t="s">
        <v>23</v>
      </c>
      <c r="H16" s="1" t="s">
        <v>16</v>
      </c>
      <c r="I16" s="4" t="s">
        <v>17</v>
      </c>
    </row>
    <row r="17" spans="1:9" ht="27" customHeight="1">
      <c r="A17" s="5">
        <v>13</v>
      </c>
      <c r="B17" s="5">
        <v>18</v>
      </c>
      <c r="C17" s="1" t="s">
        <v>40</v>
      </c>
      <c r="D17" s="1" t="s">
        <v>13</v>
      </c>
      <c r="E17" s="1" t="s">
        <v>14</v>
      </c>
      <c r="F17" s="1" t="s">
        <v>28</v>
      </c>
      <c r="G17" s="1" t="s">
        <v>28</v>
      </c>
      <c r="H17" s="1" t="s">
        <v>16</v>
      </c>
      <c r="I17" s="4" t="s">
        <v>17</v>
      </c>
    </row>
    <row r="18" spans="1:9" ht="27" customHeight="1">
      <c r="A18" s="5">
        <v>14</v>
      </c>
      <c r="B18" s="5">
        <v>19</v>
      </c>
      <c r="C18" s="1" t="s">
        <v>41</v>
      </c>
      <c r="D18" s="1" t="s">
        <v>20</v>
      </c>
      <c r="E18" s="1" t="s">
        <v>22</v>
      </c>
      <c r="F18" s="1" t="s">
        <v>15</v>
      </c>
      <c r="G18" s="1" t="s">
        <v>15</v>
      </c>
      <c r="H18" s="1" t="s">
        <v>16</v>
      </c>
      <c r="I18" s="4" t="s">
        <v>17</v>
      </c>
    </row>
    <row r="19" spans="1:9" ht="44" customHeight="1">
      <c r="A19" s="5">
        <v>15</v>
      </c>
      <c r="B19" s="5">
        <v>20</v>
      </c>
      <c r="C19" s="1" t="s">
        <v>42</v>
      </c>
      <c r="D19" s="1" t="s">
        <v>13</v>
      </c>
      <c r="E19" s="1" t="s">
        <v>26</v>
      </c>
      <c r="F19" s="1" t="s">
        <v>43</v>
      </c>
      <c r="G19" s="1" t="s">
        <v>44</v>
      </c>
      <c r="H19" s="1" t="s">
        <v>16</v>
      </c>
      <c r="I19" s="4" t="s">
        <v>45</v>
      </c>
    </row>
    <row r="20" spans="1:9" ht="27" customHeight="1">
      <c r="A20" s="5">
        <v>16</v>
      </c>
      <c r="B20" s="5">
        <v>21</v>
      </c>
      <c r="C20" s="1" t="s">
        <v>46</v>
      </c>
      <c r="D20" s="1" t="s">
        <v>13</v>
      </c>
      <c r="E20" s="1" t="s">
        <v>35</v>
      </c>
      <c r="F20" s="1" t="s">
        <v>15</v>
      </c>
      <c r="G20" s="1" t="s">
        <v>15</v>
      </c>
      <c r="H20" s="1" t="s">
        <v>16</v>
      </c>
      <c r="I20" s="4" t="s">
        <v>17</v>
      </c>
    </row>
    <row r="21" spans="1:9" ht="27" customHeight="1">
      <c r="A21" s="5">
        <v>17</v>
      </c>
      <c r="B21" s="5">
        <v>22</v>
      </c>
      <c r="C21" s="1" t="s">
        <v>47</v>
      </c>
      <c r="D21" s="1" t="s">
        <v>20</v>
      </c>
      <c r="E21" s="1" t="s">
        <v>14</v>
      </c>
      <c r="F21" s="1" t="s">
        <v>15</v>
      </c>
      <c r="G21" s="1" t="s">
        <v>15</v>
      </c>
      <c r="H21" s="1" t="s">
        <v>16</v>
      </c>
      <c r="I21" s="4" t="s">
        <v>17</v>
      </c>
    </row>
    <row r="22" spans="1:9" ht="27" customHeight="1">
      <c r="A22" s="5">
        <v>18</v>
      </c>
      <c r="B22" s="5">
        <v>23</v>
      </c>
      <c r="C22" s="1" t="s">
        <v>48</v>
      </c>
      <c r="D22" s="1" t="s">
        <v>13</v>
      </c>
      <c r="E22" s="1" t="s">
        <v>22</v>
      </c>
      <c r="F22" s="1" t="s">
        <v>28</v>
      </c>
      <c r="G22" s="1" t="s">
        <v>28</v>
      </c>
      <c r="H22" s="1" t="s">
        <v>16</v>
      </c>
      <c r="I22" s="4" t="s">
        <v>17</v>
      </c>
    </row>
    <row r="23" spans="1:9" ht="27" customHeight="1">
      <c r="A23" s="5">
        <v>19</v>
      </c>
      <c r="B23" s="5">
        <v>24</v>
      </c>
      <c r="C23" s="1" t="s">
        <v>49</v>
      </c>
      <c r="D23" s="1" t="s">
        <v>20</v>
      </c>
      <c r="E23" s="1" t="s">
        <v>26</v>
      </c>
      <c r="F23" s="1" t="s">
        <v>23</v>
      </c>
      <c r="G23" s="1" t="s">
        <v>23</v>
      </c>
      <c r="H23" s="1" t="s">
        <v>16</v>
      </c>
      <c r="I23" s="4" t="s">
        <v>17</v>
      </c>
    </row>
    <row r="24" spans="1:9" ht="27" customHeight="1">
      <c r="A24" s="5">
        <v>20</v>
      </c>
      <c r="B24" s="5">
        <v>25</v>
      </c>
      <c r="C24" s="1" t="s">
        <v>50</v>
      </c>
      <c r="D24" s="1" t="s">
        <v>13</v>
      </c>
      <c r="E24" s="1" t="s">
        <v>35</v>
      </c>
      <c r="F24" s="1" t="s">
        <v>15</v>
      </c>
      <c r="G24" s="1" t="s">
        <v>15</v>
      </c>
      <c r="H24" s="1" t="s">
        <v>16</v>
      </c>
      <c r="I24" s="4" t="s">
        <v>17</v>
      </c>
    </row>
  </sheetData>
  <phoneticPr fontId="8" type="noConversion"/>
  <conditionalFormatting sqref="E6:E24">
    <cfRule type="containsText" dxfId="1" priority="1" operator="containsText" text="未登记"/>
  </conditionalFormatting>
  <conditionalFormatting sqref="F6:F24">
    <cfRule type="containsText" dxfId="0" priority="2" operator="containsText" text="待核验"/>
  </conditionalFormatting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2" width="18" customWidth="1"/>
    <col min="3" max="3" width="14" customWidth="1"/>
    <col min="4" max="4" width="23" customWidth="1"/>
    <col min="5" max="5" width="37" customWidth="1"/>
    <col min="6" max="6" width="45" customWidth="1"/>
    <col min="7" max="7" width="41" customWidth="1"/>
  </cols>
  <sheetData>
    <row r="1" spans="1:7" ht="27" customHeight="1">
      <c r="A1" s="1"/>
      <c r="B1" s="1"/>
      <c r="C1" s="1"/>
      <c r="D1" s="1"/>
      <c r="E1" s="1"/>
      <c r="F1" s="1"/>
      <c r="G1" s="1"/>
    </row>
    <row r="2" spans="1:7" ht="32" customHeight="1">
      <c r="A2" s="2" t="s">
        <v>51</v>
      </c>
      <c r="B2" s="1"/>
      <c r="C2" s="1"/>
      <c r="D2" s="1"/>
      <c r="E2" s="1"/>
      <c r="F2" s="1"/>
      <c r="G2" s="1"/>
    </row>
    <row r="3" spans="1:7" ht="27" customHeight="1">
      <c r="A3" s="3" t="s">
        <v>52</v>
      </c>
      <c r="B3" s="1"/>
      <c r="C3" s="1"/>
      <c r="D3" s="1"/>
      <c r="E3" s="1"/>
      <c r="F3" s="1"/>
      <c r="G3" s="1"/>
    </row>
    <row r="4" spans="1:7" ht="27" customHeight="1">
      <c r="A4" s="1"/>
      <c r="B4" s="1"/>
      <c r="C4" s="1"/>
      <c r="D4" s="1"/>
      <c r="E4" s="1"/>
      <c r="F4" s="1"/>
      <c r="G4" s="1"/>
    </row>
    <row r="5" spans="1:7" ht="30" customHeight="1">
      <c r="A5" s="6" t="s">
        <v>4</v>
      </c>
      <c r="B5" s="7" t="s">
        <v>3</v>
      </c>
      <c r="C5" s="7" t="s">
        <v>5</v>
      </c>
      <c r="D5" s="7" t="s">
        <v>53</v>
      </c>
      <c r="E5" s="7" t="s">
        <v>54</v>
      </c>
      <c r="F5" s="7" t="s">
        <v>55</v>
      </c>
      <c r="G5" s="8" t="s">
        <v>56</v>
      </c>
    </row>
    <row r="6" spans="1:7" ht="58.05" customHeight="1">
      <c r="A6" s="9">
        <v>13</v>
      </c>
      <c r="B6" s="9">
        <v>8</v>
      </c>
      <c r="C6" s="4" t="s">
        <v>31</v>
      </c>
      <c r="D6" s="4" t="s">
        <v>57</v>
      </c>
      <c r="E6" s="4" t="s">
        <v>58</v>
      </c>
      <c r="F6" s="4" t="s">
        <v>59</v>
      </c>
      <c r="G6" s="4" t="s">
        <v>60</v>
      </c>
    </row>
    <row r="7" spans="1:7" ht="58.05" customHeight="1">
      <c r="A7" s="9">
        <v>14</v>
      </c>
      <c r="B7" s="9">
        <v>9</v>
      </c>
      <c r="C7" s="4" t="s">
        <v>31</v>
      </c>
      <c r="D7" s="4" t="s">
        <v>57</v>
      </c>
      <c r="E7" s="4" t="s">
        <v>58</v>
      </c>
      <c r="F7" s="4" t="s">
        <v>61</v>
      </c>
      <c r="G7" s="4" t="s">
        <v>60</v>
      </c>
    </row>
    <row r="8" spans="1:7" ht="58.05" customHeight="1">
      <c r="A8" s="9">
        <v>16</v>
      </c>
      <c r="B8" s="9">
        <v>11</v>
      </c>
      <c r="C8" s="4" t="s">
        <v>36</v>
      </c>
      <c r="D8" s="4" t="s">
        <v>62</v>
      </c>
      <c r="E8" s="4" t="s">
        <v>63</v>
      </c>
      <c r="F8" s="4" t="s">
        <v>64</v>
      </c>
      <c r="G8" s="4" t="s">
        <v>65</v>
      </c>
    </row>
    <row r="9" spans="1:7" ht="58.05" customHeight="1">
      <c r="A9" s="9">
        <v>20</v>
      </c>
      <c r="B9" s="9">
        <v>15</v>
      </c>
      <c r="C9" s="4" t="s">
        <v>42</v>
      </c>
      <c r="D9" s="4" t="s">
        <v>66</v>
      </c>
      <c r="E9" s="4" t="s">
        <v>67</v>
      </c>
      <c r="F9" s="4" t="s">
        <v>68</v>
      </c>
      <c r="G9" s="4" t="s">
        <v>69</v>
      </c>
    </row>
    <row r="10" spans="1:7" ht="27" customHeight="1">
      <c r="A10" s="1"/>
      <c r="B10" s="1"/>
      <c r="C10" s="1"/>
      <c r="D10" s="1"/>
      <c r="E10" s="1"/>
      <c r="F10" s="1"/>
      <c r="G10" s="1"/>
    </row>
    <row r="11" spans="1:7" ht="27" customHeight="1">
      <c r="A11" s="1"/>
      <c r="B11" s="1"/>
      <c r="C11" s="1"/>
      <c r="D11" s="1"/>
      <c r="E11" s="1"/>
      <c r="F11" s="1"/>
      <c r="G11" s="1"/>
    </row>
    <row r="12" spans="1:7" ht="27" customHeight="1">
      <c r="A12" s="10" t="s">
        <v>70</v>
      </c>
      <c r="B12" s="1"/>
      <c r="C12" s="1"/>
      <c r="D12" s="1"/>
      <c r="E12" s="1"/>
      <c r="F12" s="1"/>
      <c r="G12" s="1"/>
    </row>
    <row r="13" spans="1:7" ht="27" customHeight="1">
      <c r="A13" s="12" t="s">
        <v>53</v>
      </c>
      <c r="B13" s="12" t="s">
        <v>71</v>
      </c>
      <c r="C13" s="13" t="s">
        <v>72</v>
      </c>
      <c r="D13" s="11"/>
      <c r="E13" s="11"/>
      <c r="F13" s="11"/>
      <c r="G13" s="11"/>
    </row>
    <row r="14" spans="1:7" ht="27" customHeight="1">
      <c r="A14" s="1" t="s">
        <v>73</v>
      </c>
      <c r="B14" s="5">
        <v>2</v>
      </c>
      <c r="C14" s="11" t="s">
        <v>74</v>
      </c>
      <c r="D14" s="11"/>
      <c r="E14" s="11"/>
      <c r="F14" s="11"/>
      <c r="G14" s="11"/>
    </row>
    <row r="15" spans="1:7" ht="27" customHeight="1">
      <c r="A15" s="1" t="s">
        <v>75</v>
      </c>
      <c r="B15" s="5">
        <v>0</v>
      </c>
      <c r="C15" s="11" t="s">
        <v>76</v>
      </c>
      <c r="D15" s="11"/>
      <c r="E15" s="11"/>
      <c r="F15" s="11"/>
      <c r="G15" s="11"/>
    </row>
    <row r="16" spans="1:7" ht="27" customHeight="1">
      <c r="A16" s="1" t="s">
        <v>62</v>
      </c>
      <c r="B16" s="5">
        <v>1</v>
      </c>
      <c r="C16" s="11" t="s">
        <v>77</v>
      </c>
      <c r="D16" s="11"/>
      <c r="E16" s="11"/>
      <c r="F16" s="11"/>
      <c r="G16" s="11"/>
    </row>
    <row r="17" spans="1:7" ht="27" customHeight="1">
      <c r="A17" s="1" t="s">
        <v>66</v>
      </c>
      <c r="B17" s="5">
        <v>1</v>
      </c>
      <c r="C17" s="11" t="s">
        <v>78</v>
      </c>
      <c r="D17" s="11"/>
      <c r="E17" s="11"/>
      <c r="F17" s="11"/>
      <c r="G17" s="11"/>
    </row>
    <row r="18" spans="1:7" ht="27" customHeight="1">
      <c r="A18" s="1" t="s">
        <v>79</v>
      </c>
      <c r="B18" s="5">
        <v>0</v>
      </c>
      <c r="C18" s="11" t="s">
        <v>80</v>
      </c>
      <c r="D18" s="11"/>
      <c r="E18" s="11"/>
      <c r="F18" s="11"/>
      <c r="G18" s="11"/>
    </row>
    <row r="19" spans="1:7" ht="27" customHeight="1">
      <c r="A19" s="1"/>
      <c r="B19" s="1"/>
      <c r="C19" s="1"/>
      <c r="D19" s="1"/>
      <c r="E19" s="1"/>
      <c r="F19" s="1"/>
      <c r="G19" s="1"/>
    </row>
    <row r="20" spans="1:7" ht="27" customHeight="1">
      <c r="A20" s="10" t="s">
        <v>81</v>
      </c>
      <c r="B20" s="1"/>
      <c r="C20" s="1"/>
      <c r="D20" s="1"/>
      <c r="E20" s="1"/>
      <c r="F20" s="1"/>
      <c r="G20" s="1"/>
    </row>
    <row r="21" spans="1:7" ht="27" customHeight="1">
      <c r="A21" s="1" t="s">
        <v>82</v>
      </c>
      <c r="B21" s="1"/>
      <c r="C21" s="1"/>
      <c r="D21" s="1"/>
      <c r="E21" s="1"/>
      <c r="F21" s="1"/>
      <c r="G21" s="1"/>
    </row>
    <row r="22" spans="1:7" ht="27" customHeight="1">
      <c r="A22" s="1" t="s">
        <v>83</v>
      </c>
      <c r="B22" s="1"/>
      <c r="C22" s="1"/>
      <c r="D22" s="1"/>
      <c r="E22" s="1"/>
      <c r="F22" s="1"/>
      <c r="G22" s="1"/>
    </row>
    <row r="23" spans="1:7" ht="27" customHeight="1">
      <c r="A23" s="1" t="s">
        <v>84</v>
      </c>
      <c r="B23" s="1"/>
      <c r="C23" s="1"/>
      <c r="D23" s="1"/>
      <c r="E23" s="1"/>
      <c r="F23" s="1"/>
      <c r="G23" s="1"/>
    </row>
    <row r="24" spans="1:7" ht="27" customHeight="1">
      <c r="A24" s="1" t="s">
        <v>85</v>
      </c>
      <c r="B24" s="1"/>
      <c r="C24" s="1"/>
      <c r="D24" s="1"/>
      <c r="E24" s="1"/>
      <c r="F24" s="1"/>
      <c r="G24" s="1"/>
    </row>
    <row r="25" spans="1:7" ht="27" customHeight="1">
      <c r="A25" s="1" t="s">
        <v>86</v>
      </c>
      <c r="B25" s="1"/>
      <c r="C25" s="1"/>
      <c r="D25" s="1"/>
      <c r="E25" s="1"/>
      <c r="F25" s="1"/>
      <c r="G25" s="1"/>
    </row>
    <row r="26" spans="1:7" ht="27" customHeight="1">
      <c r="A26" s="1" t="s">
        <v>87</v>
      </c>
      <c r="B26" s="1"/>
      <c r="C26" s="1"/>
      <c r="D26" s="1"/>
      <c r="E26" s="1"/>
      <c r="F26" s="1"/>
      <c r="G26" s="1"/>
    </row>
    <row r="27" spans="1:7" ht="27" customHeight="1">
      <c r="A27" s="1"/>
      <c r="B27" s="1"/>
      <c r="C27" s="1"/>
      <c r="D27" s="1"/>
      <c r="E27" s="1"/>
      <c r="F27" s="1"/>
      <c r="G27" s="1"/>
    </row>
  </sheetData>
  <phoneticPr fontId="8" type="noConversion"/>
  <pageMargins left="0.7" right="0.7" top="0.75" bottom="0.75" header="0.3" footer="0.3"/>
  <pageSetup paperSize="8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7"/>
  <sheetViews>
    <sheetView showGridLines="0" tabSelected="1" workbookViewId="0"/>
  </sheetViews>
  <sheetFormatPr defaultRowHeight="13.5"/>
  <cols>
    <col min="1" max="1" width="20" customWidth="1"/>
    <col min="2" max="2" width="18" customWidth="1"/>
    <col min="3" max="3" width="4" customWidth="1"/>
    <col min="4" max="13" width="12" customWidth="1"/>
  </cols>
  <sheetData>
    <row r="1" spans="1:13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2" customHeight="1">
      <c r="A2" s="2" t="s">
        <v>88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7" customHeight="1">
      <c r="A3" s="3" t="s">
        <v>89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30" customHeight="1">
      <c r="A5" s="6" t="s">
        <v>7</v>
      </c>
      <c r="B5" s="8" t="s">
        <v>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27" customHeight="1">
      <c r="A6" s="1" t="s">
        <v>14</v>
      </c>
      <c r="B6" s="5">
        <f>COUNTIFS(整理后台账!$E$6:$E$24,A6)</f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27" customHeight="1">
      <c r="A7" s="1" t="s">
        <v>26</v>
      </c>
      <c r="B7" s="5">
        <f>COUNTIFS(整理后台账!$E$6:$E$24,A7)</f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7" customHeight="1">
      <c r="A8" s="1" t="s">
        <v>22</v>
      </c>
      <c r="B8" s="5">
        <f>COUNTIFS(整理后台账!$E$6:$E$24,A8)</f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7" customHeight="1">
      <c r="A9" s="1" t="s">
        <v>35</v>
      </c>
      <c r="B9" s="5">
        <f>COUNTIFS(整理后台账!$E$6:$E$24,A9)</f>
        <v>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7" customHeight="1">
      <c r="A10" s="1" t="s">
        <v>37</v>
      </c>
      <c r="B10" s="5">
        <f>COUNTIFS(整理后台账!$E$6:$E$24,A10)</f>
        <v>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7" customHeight="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7" customHeight="1">
      <c r="A12" s="14" t="s">
        <v>91</v>
      </c>
      <c r="B12" s="15">
        <f>SUM(B6:B10)</f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7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7" customHeight="1">
      <c r="A14" s="1" t="s">
        <v>92</v>
      </c>
      <c r="B14" s="5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7" customHeight="1">
      <c r="A15" s="1" t="s">
        <v>93</v>
      </c>
      <c r="B15" s="5">
        <f>COUNTA(整理后台账!$C$6:$C$24)</f>
        <v>19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7" customHeight="1">
      <c r="A16" s="1" t="s">
        <v>94</v>
      </c>
      <c r="B16" s="5">
        <f>B14-B15</f>
        <v>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7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7" customHeight="1">
      <c r="A18" s="1" t="s">
        <v>95</v>
      </c>
      <c r="B18" s="5">
        <f>B12-B15</f>
        <v>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7" customHeight="1">
      <c r="A22" s="3" t="s">
        <v>96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7" customHeight="1">
      <c r="A24" s="3" t="s">
        <v>97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phoneticPr fontId="8" type="noConversion"/>
  <pageMargins left="0.7" right="0.7" top="0.75" bottom="0.75" header="0.3" footer="0.3"/>
  <pageSetup paperSize="8" orientation="landscape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0"/>
  <sheetViews>
    <sheetView showGridLines="0" workbookViewId="0"/>
  </sheetViews>
  <sheetFormatPr defaultRowHeight="13.5"/>
  <cols>
    <col min="1" max="1" width="21" customWidth="1"/>
    <col min="2" max="2" width="19" customWidth="1"/>
    <col min="3" max="3" width="4" customWidth="1"/>
    <col min="4" max="6" width="23" customWidth="1"/>
  </cols>
  <sheetData>
    <row r="1" spans="1:6" ht="27" customHeight="1">
      <c r="A1" s="1"/>
      <c r="B1" s="1"/>
      <c r="C1" s="1"/>
      <c r="D1" s="1"/>
      <c r="E1" s="1"/>
      <c r="F1" s="1"/>
    </row>
    <row r="2" spans="1:6" ht="32" customHeight="1">
      <c r="A2" s="2" t="s">
        <v>98</v>
      </c>
      <c r="B2" s="1"/>
      <c r="C2" s="1"/>
      <c r="D2" s="1"/>
      <c r="E2" s="1"/>
      <c r="F2" s="1"/>
    </row>
    <row r="3" spans="1:6" ht="27" customHeight="1">
      <c r="A3" s="3" t="s">
        <v>99</v>
      </c>
      <c r="B3" s="1"/>
      <c r="C3" s="1"/>
      <c r="D3" s="1"/>
      <c r="E3" s="1"/>
      <c r="F3" s="1"/>
    </row>
    <row r="4" spans="1:6" ht="27" customHeight="1">
      <c r="A4" s="1"/>
      <c r="B4" s="1"/>
      <c r="C4" s="1"/>
      <c r="D4" s="1"/>
      <c r="E4" s="1"/>
      <c r="F4" s="1"/>
    </row>
    <row r="5" spans="1:6" ht="30" customHeight="1">
      <c r="A5" s="6" t="s">
        <v>100</v>
      </c>
      <c r="B5" s="8" t="s">
        <v>90</v>
      </c>
      <c r="C5" s="1"/>
      <c r="D5" s="1"/>
      <c r="E5" s="1"/>
      <c r="F5" s="1"/>
    </row>
    <row r="6" spans="1:6" ht="27" customHeight="1">
      <c r="A6" s="1" t="s">
        <v>15</v>
      </c>
      <c r="B6" s="5">
        <f>COUNTIFS(整理后台账!$F$6:$F$24,A6)</f>
        <v>12</v>
      </c>
      <c r="C6" s="1"/>
      <c r="D6" s="1"/>
      <c r="E6" s="1"/>
      <c r="F6" s="1"/>
    </row>
    <row r="7" spans="1:6" ht="27" customHeight="1">
      <c r="A7" s="1" t="s">
        <v>23</v>
      </c>
      <c r="B7" s="5">
        <f>COUNTIFS(整理后台账!$F$6:$F$24,A7)</f>
        <v>3</v>
      </c>
      <c r="C7" s="1"/>
      <c r="D7" s="1"/>
      <c r="E7" s="1"/>
      <c r="F7" s="1"/>
    </row>
    <row r="8" spans="1:6" ht="27" customHeight="1">
      <c r="A8" s="1" t="s">
        <v>28</v>
      </c>
      <c r="B8" s="5">
        <f>COUNTIFS(整理后台账!$F$6:$F$24,A8)</f>
        <v>3</v>
      </c>
      <c r="C8" s="1"/>
      <c r="D8" s="1"/>
      <c r="E8" s="1"/>
      <c r="F8" s="1"/>
    </row>
    <row r="9" spans="1:6" ht="27" customHeight="1">
      <c r="A9" s="1" t="s">
        <v>43</v>
      </c>
      <c r="B9" s="5">
        <f>COUNTIFS(整理后台账!$F$6:$F$24,A9)</f>
        <v>1</v>
      </c>
      <c r="C9" s="1"/>
      <c r="D9" s="1"/>
      <c r="E9" s="1"/>
      <c r="F9" s="1"/>
    </row>
    <row r="10" spans="1:6" ht="27" customHeight="1">
      <c r="A10" s="1"/>
      <c r="B10" s="5"/>
      <c r="C10" s="1"/>
      <c r="D10" s="1"/>
      <c r="E10" s="1"/>
      <c r="F10" s="1"/>
    </row>
    <row r="11" spans="1:6" ht="27" customHeight="1">
      <c r="A11" s="14" t="s">
        <v>91</v>
      </c>
      <c r="B11" s="15">
        <f>SUM(B6:B9)</f>
        <v>19</v>
      </c>
      <c r="C11" s="1"/>
      <c r="D11" s="1"/>
      <c r="E11" s="1"/>
      <c r="F11" s="1"/>
    </row>
    <row r="12" spans="1:6" ht="27" customHeight="1">
      <c r="A12" s="1"/>
      <c r="B12" s="5"/>
      <c r="C12" s="1"/>
      <c r="D12" s="1"/>
      <c r="E12" s="1"/>
      <c r="F12" s="1"/>
    </row>
    <row r="13" spans="1:6" ht="27" customHeight="1">
      <c r="A13" s="1" t="s">
        <v>93</v>
      </c>
      <c r="B13" s="5">
        <f>COUNTA(整理后台账!$C$6:$C$24)</f>
        <v>19</v>
      </c>
      <c r="C13" s="1"/>
      <c r="D13" s="1"/>
      <c r="E13" s="1"/>
      <c r="F13" s="1"/>
    </row>
    <row r="14" spans="1:6" ht="27" customHeight="1">
      <c r="A14" s="1" t="s">
        <v>95</v>
      </c>
      <c r="B14" s="5">
        <f>B11-B13</f>
        <v>0</v>
      </c>
      <c r="C14" s="1"/>
      <c r="D14" s="1"/>
      <c r="E14" s="1"/>
      <c r="F14" s="1"/>
    </row>
    <row r="15" spans="1:6" ht="27" customHeight="1">
      <c r="A15" s="1"/>
      <c r="B15" s="1"/>
      <c r="C15" s="1"/>
      <c r="D15" s="1"/>
      <c r="E15" s="1"/>
      <c r="F15" s="1"/>
    </row>
    <row r="16" spans="1:6" ht="27" customHeight="1">
      <c r="A16" s="1"/>
      <c r="B16" s="1"/>
      <c r="C16" s="1"/>
      <c r="D16" s="1"/>
      <c r="E16" s="1"/>
      <c r="F16" s="1"/>
    </row>
    <row r="17" spans="1:6" ht="27" customHeight="1">
      <c r="A17" s="3" t="s">
        <v>101</v>
      </c>
      <c r="B17" s="1"/>
      <c r="C17" s="1"/>
      <c r="D17" s="1"/>
      <c r="E17" s="1"/>
      <c r="F17" s="1"/>
    </row>
    <row r="18" spans="1:6" ht="27" customHeight="1">
      <c r="A18" s="1"/>
      <c r="B18" s="1"/>
      <c r="C18" s="1"/>
      <c r="D18" s="1"/>
      <c r="E18" s="1"/>
      <c r="F18" s="1"/>
    </row>
    <row r="19" spans="1:6" ht="27" customHeight="1">
      <c r="A19" s="1"/>
      <c r="B19" s="1"/>
      <c r="C19" s="1"/>
      <c r="D19" s="1"/>
      <c r="E19" s="1"/>
      <c r="F19" s="1"/>
    </row>
    <row r="20" spans="1:6" ht="27" customHeight="1">
      <c r="A20" s="1"/>
      <c r="B20" s="1"/>
      <c r="C20" s="1"/>
      <c r="D20" s="1"/>
      <c r="E20" s="1"/>
      <c r="F20" s="1"/>
    </row>
  </sheetData>
  <phoneticPr fontId="8" type="noConversion"/>
  <pageMargins left="0.7" right="0.7" top="0.75" bottom="0.75" header="0.3" footer="0.3"/>
  <pageSetup paperSize="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整理后台账</vt:lpstr>
      <vt:lpstr>异常处理清单</vt:lpstr>
      <vt:lpstr>地点统计</vt:lpstr>
      <vt:lpstr>状态统计</vt:lpstr>
      <vt:lpstr>地点统计!Print_Area</vt:lpstr>
      <vt:lpstr>异常处理清单!Print_Area</vt:lpstr>
      <vt:lpstr>整理后台账!Print_Area</vt:lpstr>
      <vt:lpstr>状态统计!Print_Area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明华 严</cp:lastModifiedBy>
  <dcterms:modified xsi:type="dcterms:W3CDTF">2026-10-08T10:08:34Z</dcterms:modified>
</cp:coreProperties>
</file>